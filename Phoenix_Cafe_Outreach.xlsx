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oenix Cafe Outreach" sheetId="1" state="visible" r:id="rId3"/>
    <sheet name="Summary" sheetId="2" state="visible" r:id="rId4"/>
  </sheets>
  <definedNames>
    <definedName function="false" hidden="true" localSheetId="0" name="_xlnm._FilterDatabase" vbProcedure="false">'Phoenix Cafe Outreach'!$A$1:$L$60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<sst xmlns="http://schemas.openxmlformats.org/spreadsheetml/2006/main" count="612" uniqueCount="447">
  <si>
    <t xml:space="preserve">Cafe Name</t>
  </si>
  <si>
    <t xml:space="preserve">Owner / Decision Maker</t>
  </si>
  <si>
    <t xml:space="preserve">Position / Title</t>
  </si>
  <si>
    <t xml:space="preserve">Business Email</t>
  </si>
  <si>
    <t xml:space="preserve">Phone Number</t>
  </si>
  <si>
    <t xml:space="preserve">Business Address</t>
  </si>
  <si>
    <t xml:space="preserve">Website</t>
  </si>
  <si>
    <t xml:space="preserve">Instagram Handle</t>
  </si>
  <si>
    <t xml:space="preserve">Followers</t>
  </si>
  <si>
    <t xml:space="preserve">Estimated ER (%)</t>
  </si>
  <si>
    <t xml:space="preserve">Social Media Status</t>
  </si>
  <si>
    <t xml:space="preserve">Notes &amp; Outreach Opportunity</t>
  </si>
  <si>
    <t xml:space="preserve">Lux Central</t>
  </si>
  <si>
    <t xml:space="preserve">Jeff Fischer</t>
  </si>
  <si>
    <t xml:space="preserve">Founder &amp; Owner</t>
  </si>
  <si>
    <t xml:space="preserve">info@luxcoffee.com</t>
  </si>
  <si>
    <t xml:space="preserve">(602) 696-9976</t>
  </si>
  <si>
    <t xml:space="preserve">4400-4402 N Central Ave, Phoenix, AZ 85012</t>
  </si>
  <si>
    <t xml:space="preserve">luxcoffee.com</t>
  </si>
  <si>
    <t xml:space="preserve">@luxcentral</t>
  </si>
  <si>
    <t xml:space="preserve">Highly Engaged</t>
  </si>
  <si>
    <t xml:space="preserve">Iconic Midtown institution; high foot traffic; opportunity for advanced video storytelling and event promotion.</t>
  </si>
  <si>
    <t xml:space="preserve">Songbird Coffee &amp; Tea House</t>
  </si>
  <si>
    <t xml:space="preserve">Local Leadership</t>
  </si>
  <si>
    <t xml:space="preserve">Managing Director</t>
  </si>
  <si>
    <t xml:space="preserve">hello@songbirdcoffeehouse.com</t>
  </si>
  <si>
    <t xml:space="preserve">(602) 374-4192</t>
  </si>
  <si>
    <t xml:space="preserve">812 N 3rd St, Phoenix, AZ 85004</t>
  </si>
  <si>
    <t xml:space="preserve">songbirdcoffeehouse.com</t>
  </si>
  <si>
    <t xml:space="preserve">@songbirdcoffeehouse</t>
  </si>
  <si>
    <t xml:space="preserve">Historic 1904 bungalow on Roosevelt Row; ideal candidate for loose-leaf tea subscription push.</t>
  </si>
  <si>
    <t xml:space="preserve">Cartel Roasting Co.</t>
  </si>
  <si>
    <t xml:space="preserve">Jason &amp; Amy Silberschlag</t>
  </si>
  <si>
    <t xml:space="preserve">Co-Founders</t>
  </si>
  <si>
    <t xml:space="preserve">info@cartelroastingco.com</t>
  </si>
  <si>
    <t xml:space="preserve">(480) 222-0703</t>
  </si>
  <si>
    <t xml:space="preserve">1 N 1st St, Phoenix, AZ 85004</t>
  </si>
  <si>
    <t xml:space="preserve">cartelroastingco.com</t>
  </si>
  <si>
    <t xml:space="preserve">@cartelroastingco</t>
  </si>
  <si>
    <t xml:space="preserve">Growing Fast</t>
  </si>
  <si>
    <t xml:space="preserve">Pioneer specialty roaster; opportunity to optimize localized store-level social campaigns and e-commerce ads.</t>
  </si>
  <si>
    <t xml:space="preserve">Provision Coffee</t>
  </si>
  <si>
    <t xml:space="preserve">Local Management</t>
  </si>
  <si>
    <t xml:space="preserve">Co-Founder / CEO</t>
  </si>
  <si>
    <t xml:space="preserve">contact@provisioncoffee.com</t>
  </si>
  <si>
    <t xml:space="preserve">(602) 633-2193</t>
  </si>
  <si>
    <t xml:space="preserve">711 E Missouri Ave #115, Phoenix, AZ 85014</t>
  </si>
  <si>
    <t xml:space="preserve">provisioncoffee.com</t>
  </si>
  <si>
    <t xml:space="preserve">@provisioncoffee</t>
  </si>
  <si>
    <t xml:space="preserve">Modern coffee &amp; cocktail lounge; proven influencer partner; target for paid acquisition and event funnels.</t>
  </si>
  <si>
    <t xml:space="preserve">The Coffee Builders</t>
  </si>
  <si>
    <t xml:space="preserve">Thomas Porter</t>
  </si>
  <si>
    <t xml:space="preserve">info@thecoffeebuilders.com</t>
  </si>
  <si>
    <t xml:space="preserve">(602) 334-1188</t>
  </si>
  <si>
    <t xml:space="preserve">701 S 7th St, Phoenix, AZ 85034</t>
  </si>
  <si>
    <t xml:space="preserve">thecoffeebuilders.com</t>
  </si>
  <si>
    <t xml:space="preserve">@thecoffeebuilders</t>
  </si>
  <si>
    <t xml:space="preserve">High-design venue sharing site with Porter Barn Wood; ideal for architectural short-form video content.</t>
  </si>
  <si>
    <t xml:space="preserve">Fillmore Coffee Co.</t>
  </si>
  <si>
    <t xml:space="preserve">Tristan Davies</t>
  </si>
  <si>
    <t xml:space="preserve">Owner &amp; Head Roaster</t>
  </si>
  <si>
    <t xml:space="preserve">tristan@fillmorecoffeeco.com</t>
  </si>
  <si>
    <t xml:space="preserve">(602) 368-7183</t>
  </si>
  <si>
    <t xml:space="preserve">600 N 4th Ave, Phoenix, AZ 85003</t>
  </si>
  <si>
    <t xml:space="preserve">fillmorecoffeeco.com</t>
  </si>
  <si>
    <t xml:space="preserve">@fillmorecoffeeco</t>
  </si>
  <si>
    <t xml:space="preserve">Growing Slowly</t>
  </si>
  <si>
    <t xml:space="preserve">Australian-style cafe in Downtown Phoenix; prime target for breakfast burrito &amp; catering campaigns.</t>
  </si>
  <si>
    <t xml:space="preserve">Mis Raices Cafe</t>
  </si>
  <si>
    <t xml:space="preserve">Clara Sanchez</t>
  </si>
  <si>
    <t xml:space="preserve">misraicescafe@gmail.com</t>
  </si>
  <si>
    <t xml:space="preserve">(602) 675-2228</t>
  </si>
  <si>
    <t xml:space="preserve">1325 Grand Ave Suite 3, Phoenix, AZ 85007</t>
  </si>
  <si>
    <t xml:space="preserve">misraicescafe.com</t>
  </si>
  <si>
    <t xml:space="preserve">@misraicescafe</t>
  </si>
  <si>
    <t xml:space="preserve">Mexican heritage cafe on Grand Ave; strong community engagement; candidate for branded merchandise campaigns.</t>
  </si>
  <si>
    <t xml:space="preserve">Daydreamer Coffee</t>
  </si>
  <si>
    <t xml:space="preserve">Local Operations</t>
  </si>
  <si>
    <t xml:space="preserve">Store Manager</t>
  </si>
  <si>
    <t xml:space="preserve">hello@daydreamer.coffee</t>
  </si>
  <si>
    <t xml:space="preserve">Not Found</t>
  </si>
  <si>
    <t xml:space="preserve">811 N 3rd St, Phoenix, AZ 85004</t>
  </si>
  <si>
    <t xml:space="preserve">daydreamer.coffee</t>
  </si>
  <si>
    <t xml:space="preserve">@daydreamercoffee</t>
  </si>
  <si>
    <t xml:space="preserve">Located inside Moon Tower on Roosevelt Row; sleek design aesthetic; target for lifestyle Reels.</t>
  </si>
  <si>
    <t xml:space="preserve">A.T. Oasis Coffee &amp; Tea</t>
  </si>
  <si>
    <t xml:space="preserve">Aisha Tedros &amp; Abdul</t>
  </si>
  <si>
    <t xml:space="preserve">Co-Owners &amp; Founders</t>
  </si>
  <si>
    <t xml:space="preserve">info@atoasiscoffee.com</t>
  </si>
  <si>
    <t xml:space="preserve">(602) 957-2054</t>
  </si>
  <si>
    <t xml:space="preserve">4613 E Thomas Rd, Phoenix, AZ 85018</t>
  </si>
  <si>
    <t xml:space="preserve">atoasiscoffee.com</t>
  </si>
  <si>
    <t xml:space="preserve">@atoasiscoffee</t>
  </si>
  <si>
    <t xml:space="preserve">Ethiopian specialty importer &amp; coffee ceremony hub; pitch storytelling video on coffee origins.</t>
  </si>
  <si>
    <t xml:space="preserve">Cafecito (Otro Cafe)</t>
  </si>
  <si>
    <t xml:space="preserve">Doug Robson &amp; Carlos Diaz</t>
  </si>
  <si>
    <t xml:space="preserve">Co-Owners</t>
  </si>
  <si>
    <t xml:space="preserve">info@otrocafe.com</t>
  </si>
  <si>
    <t xml:space="preserve">(602) 266-0831</t>
  </si>
  <si>
    <t xml:space="preserve">6041 N 7th St, Phoenix, AZ 85014</t>
  </si>
  <si>
    <t xml:space="preserve">otrocafe.com</t>
  </si>
  <si>
    <t xml:space="preserve">@cafecitophx</t>
  </si>
  <si>
    <t xml:space="preserve">Uptown Mexican coffee bar attached to Otro Cafe; candidate for cross-promotional dining campaigns.</t>
  </si>
  <si>
    <t xml:space="preserve">A Flourshop</t>
  </si>
  <si>
    <t xml:space="preserve">Andrea Tuck</t>
  </si>
  <si>
    <t xml:space="preserve">Founder &amp; Master Baker</t>
  </si>
  <si>
    <t xml:space="preserve">hello@aflourshop.com</t>
  </si>
  <si>
    <t xml:space="preserve">(602) 279-0581</t>
  </si>
  <si>
    <t xml:space="preserve">5118 N 7th St, Phoenix, AZ 85014</t>
  </si>
  <si>
    <t xml:space="preserve">aflourshop.com</t>
  </si>
  <si>
    <t xml:space="preserve">@aflourshop</t>
  </si>
  <si>
    <t xml:space="preserve">Bakery, floral bar, and Moxie coffee concept; prime prospect for wedding catering &amp; custom cake campaigns.</t>
  </si>
  <si>
    <t xml:space="preserve">Fair Trade Cafe</t>
  </si>
  <si>
    <t xml:space="preserve">Stephanie Vasquez</t>
  </si>
  <si>
    <t xml:space="preserve">stephanie@azfairtrade.com</t>
  </si>
  <si>
    <t xml:space="preserve">(602) 257-2122</t>
  </si>
  <si>
    <t xml:space="preserve">1022 N 1st Ave, Phoenix, AZ 85003</t>
  </si>
  <si>
    <t xml:space="preserve">azfairtrade.com</t>
  </si>
  <si>
    <t xml:space="preserve">@fairtradecafe</t>
  </si>
  <si>
    <t xml:space="preserve">Needs Better Social Presence</t>
  </si>
  <si>
    <t xml:space="preserve">Historic downtown community pillar; low recent engagement; pitch social reboot &amp; meeting space booking funnels.</t>
  </si>
  <si>
    <t xml:space="preserve">Luana's Coffee &amp; Beer</t>
  </si>
  <si>
    <t xml:space="preserve">Aaron Schofield &amp; Kylee</t>
  </si>
  <si>
    <t xml:space="preserve">Co-Founders &amp; Owners</t>
  </si>
  <si>
    <t xml:space="preserve">luanascoffee@gmail.com</t>
  </si>
  <si>
    <t xml:space="preserve">(602) 314-5221</t>
  </si>
  <si>
    <t xml:space="preserve">149 W McDowell Rd, Phoenix, AZ 85003</t>
  </si>
  <si>
    <t xml:space="preserve">luanascoffee.com</t>
  </si>
  <si>
    <t xml:space="preserve">@luanascoffee</t>
  </si>
  <si>
    <t xml:space="preserve">High-concept story-driven venue; massive engagement; target for high-level creative video retainer.</t>
  </si>
  <si>
    <t xml:space="preserve">Moxie Coffee Co.</t>
  </si>
  <si>
    <t xml:space="preserve">Founder / Head Roaster</t>
  </si>
  <si>
    <t xml:space="preserve">moxiecoffeeco@gmail.com</t>
  </si>
  <si>
    <t xml:space="preserve">(602) 842-2594</t>
  </si>
  <si>
    <t xml:space="preserve">4626 N 16th St Suite 101, Phoenix, AZ 85016</t>
  </si>
  <si>
    <t xml:space="preserve">moxiecoffeeco.com</t>
  </si>
  <si>
    <t xml:space="preserve">@moxiecoffeeco</t>
  </si>
  <si>
    <t xml:space="preserve">Award-winning Midtown roaster; experimental origins; target for wholesale bean B2B lead gen.</t>
  </si>
  <si>
    <t xml:space="preserve">Futuro</t>
  </si>
  <si>
    <t xml:space="preserve">Founder / Curator</t>
  </si>
  <si>
    <t xml:space="preserve">909 N 1st St, Phoenix, AZ 85004</t>
  </si>
  <si>
    <t xml:space="preserve">futurocoffee.com</t>
  </si>
  <si>
    <t xml:space="preserve">@futurocoffee</t>
  </si>
  <si>
    <t xml:space="preserve">Ultra-minimalist cafe inside PALABRA gallery; Sey Coffee roasts; pitch editorial design content.</t>
  </si>
  <si>
    <t xml:space="preserve">Renegade Coffee Co.</t>
  </si>
  <si>
    <t xml:space="preserve">Kris</t>
  </si>
  <si>
    <t xml:space="preserve">renegadecoffeeaz@gmail.com</t>
  </si>
  <si>
    <t xml:space="preserve">19th Ave &amp; Northern, Phoenix, AZ 85021</t>
  </si>
  <si>
    <t xml:space="preserve">renegadecoffeeaz.com</t>
  </si>
  <si>
    <t xml:space="preserve">@renegadecoffeeaz</t>
  </si>
  <si>
    <t xml:space="preserve">19 North location with drive-thru; low digital engagement; target for local neighborhood ad funnels.</t>
  </si>
  <si>
    <t xml:space="preserve">Valley Coffee Company</t>
  </si>
  <si>
    <t xml:space="preserve">Donny Peper</t>
  </si>
  <si>
    <t xml:space="preserve">info@valley-coffee.com</t>
  </si>
  <si>
    <t xml:space="preserve">(602) 734-5550</t>
  </si>
  <si>
    <t xml:space="preserve">100 W Portland St #108, Phoenix, AZ 85003</t>
  </si>
  <si>
    <t xml:space="preserve">valley-coffee.com</t>
  </si>
  <si>
    <t xml:space="preserve">@valleycoffeecompany</t>
  </si>
  <si>
    <t xml:space="preserve">Roosevelt Row location with ArtLink gallery; sub-2% engagement; pitch local art &amp; event promotion.</t>
  </si>
  <si>
    <t xml:space="preserve">Indigo Room Coffee</t>
  </si>
  <si>
    <t xml:space="preserve">Carder</t>
  </si>
  <si>
    <t xml:space="preserve">Owner &amp; Operator</t>
  </si>
  <si>
    <t xml:space="preserve">702 E Coronado Rd, Phoenix, AZ 85006</t>
  </si>
  <si>
    <t xml:space="preserve">@indigoroomcoffee</t>
  </si>
  <si>
    <t xml:space="preserve">Hidden inside Urban Collective vintage shop; high engagement; target for micro-influencer events.</t>
  </si>
  <si>
    <t xml:space="preserve">Dialog</t>
  </si>
  <si>
    <t xml:space="preserve">Operations Director</t>
  </si>
  <si>
    <t xml:space="preserve">hello@dialogphx.com</t>
  </si>
  <si>
    <t xml:space="preserve">(602) 607-5310</t>
  </si>
  <si>
    <t xml:space="preserve">1001 N Central Ave, Phoenix, AZ 85004</t>
  </si>
  <si>
    <t xml:space="preserve">dialogphx.com</t>
  </si>
  <si>
    <t xml:space="preserve">@dialogphx</t>
  </si>
  <si>
    <t xml:space="preserve">Modernist market and espresso bar; strong foot traffic; candidate for retail item social promotion.</t>
  </si>
  <si>
    <t xml:space="preserve">Case Study Coffee Lounge</t>
  </si>
  <si>
    <t xml:space="preserve">info@casestudyphx.com</t>
  </si>
  <si>
    <t xml:space="preserve">1601 Grand Ave, Phoenix, AZ 85007</t>
  </si>
  <si>
    <t xml:space="preserve">casestudyphx.com</t>
  </si>
  <si>
    <t xml:space="preserve">@casestudycoffeelounge</t>
  </si>
  <si>
    <t xml:space="preserve">Grand Ave study spot with neon aesthetic; sub-3% engagement; pitch student &amp; remote worker ads.</t>
  </si>
  <si>
    <t xml:space="preserve">URBO | Urban Bodega</t>
  </si>
  <si>
    <t xml:space="preserve">General Manager</t>
  </si>
  <si>
    <t xml:space="preserve">contact@shopurbo.com</t>
  </si>
  <si>
    <t xml:space="preserve">(602) 237-5903</t>
  </si>
  <si>
    <t xml:space="preserve">603 W Fillmore St, Phoenix, AZ 85003</t>
  </si>
  <si>
    <t xml:space="preserve">shopurbo.com</t>
  </si>
  <si>
    <t xml:space="preserve">@shopurbo</t>
  </si>
  <si>
    <t xml:space="preserve">Downtown bodega &amp; coffee shop; lowest engagement in dataset; pitch total social media management overhaul.</t>
  </si>
  <si>
    <t xml:space="preserve">Medjool Cafe</t>
  </si>
  <si>
    <t xml:space="preserve">Princess Pita Group</t>
  </si>
  <si>
    <t xml:space="preserve">Managing Partner</t>
  </si>
  <si>
    <t xml:space="preserve">info@princesspitaaz.com</t>
  </si>
  <si>
    <t xml:space="preserve">(602) 639-0344</t>
  </si>
  <si>
    <t xml:space="preserve">2603 N Central Ave, Phoenix, AZ 85004</t>
  </si>
  <si>
    <t xml:space="preserve">princesspitaaz.com</t>
  </si>
  <si>
    <t xml:space="preserve">@medjoolcafephx</t>
  </si>
  <si>
    <t xml:space="preserve">Midtown baklava &amp; coffee bar concept; under-marketed online; pitch food influencer launch campaign.</t>
  </si>
  <si>
    <t xml:space="preserve">Chico Coffee Bar</t>
  </si>
  <si>
    <t xml:space="preserve">Head Roaster</t>
  </si>
  <si>
    <t xml:space="preserve">info@chicocoffeebar.com</t>
  </si>
  <si>
    <t xml:space="preserve">888 N 1st Ave, Phoenix, AZ 85003</t>
  </si>
  <si>
    <t xml:space="preserve">chicocoffeebar.com</t>
  </si>
  <si>
    <t xml:space="preserve">@chicocoffeebar</t>
  </si>
  <si>
    <t xml:space="preserve">Puerto Rican origin coffee roaster on Roosevelt Row; small follower base; pitch community growth strategy.</t>
  </si>
  <si>
    <t xml:space="preserve">Cotta Nostra</t>
  </si>
  <si>
    <t xml:space="preserve">Local Ownership</t>
  </si>
  <si>
    <t xml:space="preserve">Founder</t>
  </si>
  <si>
    <t xml:space="preserve">15410 S Mountain Pkwy, Phoenix, AZ 85044</t>
  </si>
  <si>
    <t xml:space="preserve">instagram.com/cottanostra</t>
  </si>
  <si>
    <t xml:space="preserve">@cottanostra</t>
  </si>
  <si>
    <t xml:space="preserve">Ahwatukee specialty shop featuring Pair Cupworks; pitch local SEO and Instagram content strategy.</t>
  </si>
  <si>
    <t xml:space="preserve">Esso Coffeehouse</t>
  </si>
  <si>
    <t xml:space="preserve">essocoffeehouse@gmail.com</t>
  </si>
  <si>
    <t xml:space="preserve">(480) 568-2067</t>
  </si>
  <si>
    <t xml:space="preserve">4700 N 12th St Suite 107, Phoenix, AZ 85014</t>
  </si>
  <si>
    <t xml:space="preserve">essocoffeeshop.com</t>
  </si>
  <si>
    <t xml:space="preserve">@essocoffeehouse</t>
  </si>
  <si>
    <t xml:space="preserve">Tucked-away roastery on 12th St; heavy roast focus; pitch visual branding and patio lifestyle content.</t>
  </si>
  <si>
    <t xml:space="preserve">The Grove Artisan Cafe</t>
  </si>
  <si>
    <t xml:space="preserve">info@thegrovehighstreet.com</t>
  </si>
  <si>
    <t xml:space="preserve">(480) 264-5888</t>
  </si>
  <si>
    <t xml:space="preserve">5415 E High St, Phoenix, AZ 85054</t>
  </si>
  <si>
    <t xml:space="preserve">thegrovehighstreet.com</t>
  </si>
  <si>
    <t xml:space="preserve">@thegrovehighstreet</t>
  </si>
  <si>
    <t xml:space="preserve">High Street location with hidden night speakeasy; low social engagement; pitch night-menu video ads.</t>
  </si>
  <si>
    <t xml:space="preserve">CCV Coffee at The District</t>
  </si>
  <si>
    <t xml:space="preserve">CCV Downtown</t>
  </si>
  <si>
    <t xml:space="preserve">Community Director</t>
  </si>
  <si>
    <t xml:space="preserve">downtown@ccv.church</t>
  </si>
  <si>
    <t xml:space="preserve">(623) 561-3550</t>
  </si>
  <si>
    <t xml:space="preserve">101 E Buchanan St, Phoenix, AZ 85004</t>
  </si>
  <si>
    <t xml:space="preserve">ccv.church/downtownphoenix</t>
  </si>
  <si>
    <t xml:space="preserve">@ccvdowntown</t>
  </si>
  <si>
    <t xml:space="preserve">Art-deco venue in Warehouse District; sub-1.7% engagement; pitch community &amp; event digital management.</t>
  </si>
  <si>
    <t xml:space="preserve">WeBe Coffee Roasters</t>
  </si>
  <si>
    <t xml:space="preserve">Founder &amp; Head Roaster</t>
  </si>
  <si>
    <t xml:space="preserve">contact@webecoffee.com</t>
  </si>
  <si>
    <t xml:space="preserve">15244 N Cave Creek Rd, Phoenix, AZ 85032</t>
  </si>
  <si>
    <t xml:space="preserve">webecoffee.com</t>
  </si>
  <si>
    <t xml:space="preserve">@webecoffee</t>
  </si>
  <si>
    <t xml:space="preserve">North Phoenix micro-roaster; excellent bean quality; pitch e-commerce social sales funnel.</t>
  </si>
  <si>
    <t xml:space="preserve">Dark Hall Coffee</t>
  </si>
  <si>
    <t xml:space="preserve">Operations Manager</t>
  </si>
  <si>
    <t xml:space="preserve">darkhallcoffee@gmail.com</t>
  </si>
  <si>
    <t xml:space="preserve">2243 N 12th St, Phoenix, AZ 85006</t>
  </si>
  <si>
    <t xml:space="preserve">darkhallcoffee.com</t>
  </si>
  <si>
    <t xml:space="preserve">@darkhallcoffee</t>
  </si>
  <si>
    <t xml:space="preserve">Plant-based craft coffee &amp; bakery; strong aesthetic niche; pitch vegan community campaigns.</t>
  </si>
  <si>
    <t xml:space="preserve">Lola Coffee</t>
  </si>
  <si>
    <t xml:space="preserve">Daniel Wayne</t>
  </si>
  <si>
    <t xml:space="preserve">daniel@lolacoffee.com</t>
  </si>
  <si>
    <t xml:space="preserve">(602) 254-0800</t>
  </si>
  <si>
    <t xml:space="preserve">1001 N 3rd Ave, Phoenix, AZ 85003</t>
  </si>
  <si>
    <t xml:space="preserve">lolacoffee.com</t>
  </si>
  <si>
    <t xml:space="preserve">@lolacoffee</t>
  </si>
  <si>
    <t xml:space="preserve">Long-standing family-owned local favorite; pioneer owner-barista; pitch loyalty marketing campaign.</t>
  </si>
  <si>
    <t xml:space="preserve">Window Coffee Bar</t>
  </si>
  <si>
    <t xml:space="preserve">hello@windowcoffeebar.com</t>
  </si>
  <si>
    <t xml:space="preserve">635 W Glenrosa Ave #109, Phoenix, AZ 85013</t>
  </si>
  <si>
    <t xml:space="preserve">windowcoffeebar.com</t>
  </si>
  <si>
    <t xml:space="preserve">@windowcoffeebar</t>
  </si>
  <si>
    <t xml:space="preserve">Melrose District &amp; Camelback locations; neon aesthetics; pitch seasonal drink promo Reels.</t>
  </si>
  <si>
    <t xml:space="preserve">Sip Coffee &amp; Beer</t>
  </si>
  <si>
    <t xml:space="preserve">info@sipcoffeeandbeer.com</t>
  </si>
  <si>
    <t xml:space="preserve">(602) 957-2337</t>
  </si>
  <si>
    <t xml:space="preserve">3617 E Indian School Rd, Phoenix, AZ 85018</t>
  </si>
  <si>
    <t xml:space="preserve">sipcoffeeandbeer.com</t>
  </si>
  <si>
    <t xml:space="preserve">@sipcoffeeandbeer</t>
  </si>
  <si>
    <t xml:space="preserve">Industrial garage setup in Arcadia; live music &amp; beer taps; pitch weekend event social ads.</t>
  </si>
  <si>
    <t xml:space="preserve">Caffio Espresso Bar</t>
  </si>
  <si>
    <t xml:space="preserve">Founder &amp; Operator</t>
  </si>
  <si>
    <t xml:space="preserve">info@caffioespresso.com</t>
  </si>
  <si>
    <t xml:space="preserve">1025 NW Grand Ave, Suite 02, Phoenix, AZ 85007</t>
  </si>
  <si>
    <t xml:space="preserve">caffioespresso.com</t>
  </si>
  <si>
    <t xml:space="preserve">@caffioespresso</t>
  </si>
  <si>
    <t xml:space="preserve">Operating inside Pueblo nursery; vintage Piaggio Ape trailer heritage; pitch visual story reels.</t>
  </si>
  <si>
    <t xml:space="preserve">Harlem Coffee Co.</t>
  </si>
  <si>
    <t xml:space="preserve">Founder / Lead Barista</t>
  </si>
  <si>
    <t xml:space="preserve">drinkharlem@gmail.com</t>
  </si>
  <si>
    <t xml:space="preserve">drinkharlem.com</t>
  </si>
  <si>
    <t xml:space="preserve">@drinkharlem</t>
  </si>
  <si>
    <t xml:space="preserve">Pop-up operating inside Sauvage natural wine shop; pitch pop-up schedule optimization &amp; ads.</t>
  </si>
  <si>
    <t xml:space="preserve">Trans Am Cafe</t>
  </si>
  <si>
    <t xml:space="preserve">Owner &amp; Curator</t>
  </si>
  <si>
    <t xml:space="preserve">transamcafe@gmail.com</t>
  </si>
  <si>
    <t xml:space="preserve">1506 Grand Ave, Phoenix, AZ 85007</t>
  </si>
  <si>
    <t xml:space="preserve">transamcafe.com</t>
  </si>
  <si>
    <t xml:space="preserve">@transamcafe</t>
  </si>
  <si>
    <t xml:space="preserve">Funky art gallery &amp; cafe combo on Grand Ave; low social engagement; pitch creative event funnels.</t>
  </si>
  <si>
    <t xml:space="preserve">Copper Star Coffee</t>
  </si>
  <si>
    <t xml:space="preserve">info@copperstarcoffee.com</t>
  </si>
  <si>
    <t xml:space="preserve">(602) 266-2136</t>
  </si>
  <si>
    <t xml:space="preserve">4253 N 7th Ave, Phoenix, AZ 85013</t>
  </si>
  <si>
    <t xml:space="preserve">copperstarcoffee.com</t>
  </si>
  <si>
    <t xml:space="preserve">@copperstarcoffee</t>
  </si>
  <si>
    <t xml:space="preserve">Award-winning drive-thru &amp; cafe; live weekend bands; pitch local event video marketing.</t>
  </si>
  <si>
    <t xml:space="preserve">Deseo A Coffee Shack</t>
  </si>
  <si>
    <t xml:space="preserve">Female Ownership</t>
  </si>
  <si>
    <t xml:space="preserve">deseocoffeeshack@gmail.com</t>
  </si>
  <si>
    <t xml:space="preserve">2330 E McDowell Rd Unit D, Phoenix, AZ 85006</t>
  </si>
  <si>
    <t xml:space="preserve">deseocoffeeshack.com</t>
  </si>
  <si>
    <t xml:space="preserve">@deseocoffeeshack</t>
  </si>
  <si>
    <t xml:space="preserve">Female-owned vibrant coffee shack; Mexican culture focus; pitch specialty drink Reels.</t>
  </si>
  <si>
    <t xml:space="preserve">Xolo Coffee</t>
  </si>
  <si>
    <t xml:space="preserve">xolocoffeephx@gmail.com</t>
  </si>
  <si>
    <t xml:space="preserve">2428 N 16th St C, Phoenix, AZ 85006</t>
  </si>
  <si>
    <t xml:space="preserve">xolocoffeephx.com</t>
  </si>
  <si>
    <t xml:space="preserve">@xolocoffee.phx</t>
  </si>
  <si>
    <t xml:space="preserve">Mexican roots &amp; local art gallery cafe on 16th St; pitch brand awareness campaigns.</t>
  </si>
  <si>
    <t xml:space="preserve">32 Shea</t>
  </si>
  <si>
    <t xml:space="preserve">info@32shea.com</t>
  </si>
  <si>
    <t xml:space="preserve">(602) 867-7432</t>
  </si>
  <si>
    <t xml:space="preserve">10626 N 32nd St, Phoenix, AZ 85028</t>
  </si>
  <si>
    <t xml:space="preserve">32shea.com</t>
  </si>
  <si>
    <t xml:space="preserve">@32shea</t>
  </si>
  <si>
    <t xml:space="preserve">Express drive-thru &amp; evening patio lounge; pitch day-to-night transition marketing.</t>
  </si>
  <si>
    <t xml:space="preserve">Wonderift Coffee</t>
  </si>
  <si>
    <t xml:space="preserve">Family Owned</t>
  </si>
  <si>
    <t xml:space="preserve">hello@wonderiftcoffee.com</t>
  </si>
  <si>
    <t xml:space="preserve">12020 S Warner Elliot Loop, Phoenix, AZ 85044</t>
  </si>
  <si>
    <t xml:space="preserve">wonderiftcoffee.com</t>
  </si>
  <si>
    <t xml:space="preserve">@wonderiftcoffee</t>
  </si>
  <si>
    <t xml:space="preserve">South Mountain community cafe; garage/bike shop vibe; pitch local outdoor enthusiast ads.</t>
  </si>
  <si>
    <t xml:space="preserve">CoffeeDrunk</t>
  </si>
  <si>
    <t xml:space="preserve">info@coffeedrunkphx.com</t>
  </si>
  <si>
    <t xml:space="preserve">1946 Lawrence Bldg, Warehouse District, Phoenix, AZ</t>
  </si>
  <si>
    <t xml:space="preserve">coffeedrunkphx.com</t>
  </si>
  <si>
    <t xml:space="preserve">@coffeedrunkphx</t>
  </si>
  <si>
    <t xml:space="preserve">Coastal energy concept in restored historic warehouse; pitch industrial aesthetic video campaigns.</t>
  </si>
  <si>
    <t xml:space="preserve">Aftermarket</t>
  </si>
  <si>
    <t xml:space="preserve">info@aftermarketphx.com</t>
  </si>
  <si>
    <t xml:space="preserve">1301 NW Grand Ave, Phoenix, AZ 85007</t>
  </si>
  <si>
    <t xml:space="preserve">aftermarketphx.com</t>
  </si>
  <si>
    <t xml:space="preserve">@aftermarketphx</t>
  </si>
  <si>
    <t xml:space="preserve">Studio space &amp; art gallery cafe on Grand Ave; alternative vibe; pitch cultural event promotions.</t>
  </si>
  <si>
    <t xml:space="preserve">Matilda's All-Day Cafe</t>
  </si>
  <si>
    <t xml:space="preserve">First Place Coffee</t>
  </si>
  <si>
    <t xml:space="preserve">info@matildasphx.com</t>
  </si>
  <si>
    <t xml:space="preserve">Central City, Phoenix, AZ</t>
  </si>
  <si>
    <t xml:space="preserve">matildasphx.com</t>
  </si>
  <si>
    <t xml:space="preserve">@matildasphx</t>
  </si>
  <si>
    <t xml:space="preserve">Full-service expansion by First Place Coffee; elevated food program; pitch brunch video ads.</t>
  </si>
  <si>
    <t xml:space="preserve">Cultivate Coffee</t>
  </si>
  <si>
    <t xml:space="preserve">info@cultivatephx.com</t>
  </si>
  <si>
    <t xml:space="preserve">North Mountain Village, Phoenix, AZ</t>
  </si>
  <si>
    <t xml:space="preserve">cultivatephx.com</t>
  </si>
  <si>
    <t xml:space="preserve">@cultivatephx</t>
  </si>
  <si>
    <t xml:space="preserve">Community-focused roastery in North Mountain; ethical sourcing; pitch non-profit partnership campaigns.</t>
  </si>
  <si>
    <t xml:space="preserve">Bang Bang Coffee</t>
  </si>
  <si>
    <t xml:space="preserve">info@bangbangphx.com</t>
  </si>
  <si>
    <t xml:space="preserve">10 W Vernon Ave, Phoenix, AZ 85003</t>
  </si>
  <si>
    <t xml:space="preserve">bangbangphx.com</t>
  </si>
  <si>
    <t xml:space="preserve">@bangbangcoffeephx</t>
  </si>
  <si>
    <t xml:space="preserve">Whimsical red brick walk-up kiosk near Central Ave; pitch walk-up viral Reel campaigns.</t>
  </si>
  <si>
    <t xml:space="preserve">The Refuge</t>
  </si>
  <si>
    <t xml:space="preserve">info@therefugephx.com</t>
  </si>
  <si>
    <t xml:space="preserve">4727 N 7th Ave, Phoenix, AZ 85013</t>
  </si>
  <si>
    <t xml:space="preserve">therefugephx.com</t>
  </si>
  <si>
    <t xml:space="preserve">@therefugephx</t>
  </si>
  <si>
    <t xml:space="preserve">Cafe by day &amp; wine bar by night; low social interaction; pitch evening transition advertising.</t>
  </si>
  <si>
    <t xml:space="preserve">Luci's at the Orchard</t>
  </si>
  <si>
    <t xml:space="preserve">info@lucisorchard.com</t>
  </si>
  <si>
    <t xml:space="preserve">1590 E Bethany Home Rd, Phoenix, AZ 85014</t>
  </si>
  <si>
    <t xml:space="preserve">lucisorchard.com</t>
  </si>
  <si>
    <t xml:space="preserve">@lucisorchard</t>
  </si>
  <si>
    <t xml:space="preserve">Family oasis with splash pad, market, and cafe; pitch family-focused community social ads.</t>
  </si>
  <si>
    <t xml:space="preserve">Central Records</t>
  </si>
  <si>
    <t xml:space="preserve">info@centralrecords.com</t>
  </si>
  <si>
    <t xml:space="preserve">Central Ave, Phoenix, AZ</t>
  </si>
  <si>
    <t xml:space="preserve">centralrecords.com</t>
  </si>
  <si>
    <t xml:space="preserve">@centralrecords</t>
  </si>
  <si>
    <t xml:space="preserve">Radio cafe, record store, and wine lounge; high creative energy; pitch live music event video.</t>
  </si>
  <si>
    <t xml:space="preserve">Cielito Rosa Bakery</t>
  </si>
  <si>
    <t xml:space="preserve">info@cielitorosa.com</t>
  </si>
  <si>
    <t xml:space="preserve">7th Ave &amp; McDowell, Phoenix, AZ</t>
  </si>
  <si>
    <t xml:space="preserve">cielitorosa.com</t>
  </si>
  <si>
    <t xml:space="preserve">@cielitorosabakery</t>
  </si>
  <si>
    <t xml:space="preserve">Aesthetic pink bakery &amp; cafe; high photo appeal; pitch viral TikTok &amp; Reel production.</t>
  </si>
  <si>
    <t xml:space="preserve">Nephews Coffee</t>
  </si>
  <si>
    <t xml:space="preserve">info@nephewscoffee.com</t>
  </si>
  <si>
    <t xml:space="preserve">Phoenix, AZ</t>
  </si>
  <si>
    <t xml:space="preserve">nephewscoffee.com</t>
  </si>
  <si>
    <t xml:space="preserve">@nephewscoffee</t>
  </si>
  <si>
    <t xml:space="preserve">New emerging concept; signature iced chai &amp; empanadas; pitch launch growth management.</t>
  </si>
  <si>
    <t xml:space="preserve">Kream Coffee</t>
  </si>
  <si>
    <t xml:space="preserve">For the People Group</t>
  </si>
  <si>
    <t xml:space="preserve">info@kreamcoffee.com</t>
  </si>
  <si>
    <t xml:space="preserve">Central Ave &amp; Camelback, Phoenix, AZ</t>
  </si>
  <si>
    <t xml:space="preserve">kreamcoffee.com</t>
  </si>
  <si>
    <t xml:space="preserve">@kreamcoffee</t>
  </si>
  <si>
    <t xml:space="preserve">Modernist coffee haven inside For the People design store; pitch design audience cross-promotions.</t>
  </si>
  <si>
    <t xml:space="preserve">Xanadu Coffee</t>
  </si>
  <si>
    <t xml:space="preserve">info@xanaducoffee.com</t>
  </si>
  <si>
    <t xml:space="preserve">Garfield District, Phoenix, AZ</t>
  </si>
  <si>
    <t xml:space="preserve">xanaducoffee.com</t>
  </si>
  <si>
    <t xml:space="preserve">@xanaducoffee</t>
  </si>
  <si>
    <t xml:space="preserve">Specialty roaster in Garfield; creative prickly pear drinks; pitch wholesale roastery ads.</t>
  </si>
  <si>
    <t xml:space="preserve">The Teapot</t>
  </si>
  <si>
    <t xml:space="preserve">Owner &amp; Manager</t>
  </si>
  <si>
    <t xml:space="preserve">info@theteapotphx.com</t>
  </si>
  <si>
    <t xml:space="preserve">Downtown Phoenix (S. of Roosevelt), AZ</t>
  </si>
  <si>
    <t xml:space="preserve">theteapotphx.com</t>
  </si>
  <si>
    <t xml:space="preserve">@theteapotphx</t>
  </si>
  <si>
    <t xml:space="preserve">Family-owned venue with outdoor play yard; pitch mom/parent community targeted marketing.</t>
  </si>
  <si>
    <t xml:space="preserve">Maleta Cafe</t>
  </si>
  <si>
    <t xml:space="preserve">Maria</t>
  </si>
  <si>
    <t xml:space="preserve">info@maletacafe.com</t>
  </si>
  <si>
    <t xml:space="preserve">Downtown PHX (inside ALAC), AZ</t>
  </si>
  <si>
    <t xml:space="preserve">maletacafe.com</t>
  </si>
  <si>
    <t xml:space="preserve">@maletacafe</t>
  </si>
  <si>
    <t xml:space="preserve">Cultural cafe inside Latino Arts &amp; Culture Center; pitch art community cross-promotions.</t>
  </si>
  <si>
    <t xml:space="preserve">Valentine</t>
  </si>
  <si>
    <t xml:space="preserve">info@valentinephx.com</t>
  </si>
  <si>
    <t xml:space="preserve">4130 N 7th Ave, Phoenix, AZ 85013</t>
  </si>
  <si>
    <t xml:space="preserve">valentinephx.com</t>
  </si>
  <si>
    <t xml:space="preserve">@valentine_phx</t>
  </si>
  <si>
    <t xml:space="preserve">James Beard semifinalist cafe &amp; restaurant in Melrose; pitch high-end culinary video storytelling.</t>
  </si>
  <si>
    <t xml:space="preserve">La La Land Kind Cafe</t>
  </si>
  <si>
    <t xml:space="preserve">hello@lalalandcafe.com</t>
  </si>
  <si>
    <t xml:space="preserve">(520) 264-5340</t>
  </si>
  <si>
    <t xml:space="preserve">5039 N 44th St, Phoenix, AZ 85018</t>
  </si>
  <si>
    <t xml:space="preserve">lalalandcafe.com</t>
  </si>
  <si>
    <t xml:space="preserve">@lalalandkindcafe</t>
  </si>
  <si>
    <t xml:space="preserve">High-visibility yellow aesthetic location; target for influencer &amp; viral social campaigns.</t>
  </si>
  <si>
    <t xml:space="preserve">Global Ambassador Le Market</t>
  </si>
  <si>
    <t xml:space="preserve">Sam Fox Group</t>
  </si>
  <si>
    <t xml:space="preserve">Hospitality Director</t>
  </si>
  <si>
    <t xml:space="preserve">info@globalambassadorhotel.com</t>
  </si>
  <si>
    <t xml:space="preserve">4360 E Camelback Rd, Phoenix, AZ 85018</t>
  </si>
  <si>
    <t xml:space="preserve">globalambassadorhotel.com</t>
  </si>
  <si>
    <t xml:space="preserve">@globalambassadorhotel</t>
  </si>
  <si>
    <t xml:space="preserve">Luxurious hotel cafe on Camelback; pitch luxury lifestyle and brunch marketing funnels.</t>
  </si>
  <si>
    <t xml:space="preserve">Sottise</t>
  </si>
  <si>
    <t xml:space="preserve">info@sottisephx.com</t>
  </si>
  <si>
    <t xml:space="preserve">1025 N 2nd St, Phoenix, AZ 85004</t>
  </si>
  <si>
    <t xml:space="preserve">sottisephx.com</t>
  </si>
  <si>
    <t xml:space="preserve">@sottisephx</t>
  </si>
  <si>
    <t xml:space="preserve">French bistro and coffee house in downtown brick home; pitch classic dining video Reels.</t>
  </si>
  <si>
    <t xml:space="preserve">info@firstplacecoffee.com</t>
  </si>
  <si>
    <t xml:space="preserve">Mobile Set Up, Phoenix, AZ</t>
  </si>
  <si>
    <t xml:space="preserve">firstplacecoffee.com</t>
  </si>
  <si>
    <t xml:space="preserve">@firstplacecoffee</t>
  </si>
  <si>
    <t xml:space="preserve">Unique mobile coffee truck; seasonal drinks &amp; playlists; pitch mobile pop-up event tracking ads.</t>
  </si>
  <si>
    <t xml:space="preserve">Phoenix Cafe Outreach — Summary</t>
  </si>
  <si>
    <t xml:space="preserve">Total Cafes</t>
  </si>
  <si>
    <t xml:space="preserve">Average Followers</t>
  </si>
  <si>
    <t xml:space="preserve">Average Estimated ER (%)</t>
  </si>
  <si>
    <t xml:space="preserve">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</si>
</sst>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CC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n">
        <v>28500</v>
      </c>
      <c r="J2" s="4" t="n">
        <v>0.0342</v>
      </c>
      <c r="K2" s="5" t="s">
        <v>20</v>
      </c>
      <c r="L2" s="6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3" t="n">
        <v>18200</v>
      </c>
      <c r="J3" s="4" t="n">
        <v>0.0415</v>
      </c>
      <c r="K3" s="5" t="s">
        <v>20</v>
      </c>
      <c r="L3" s="6" t="s">
        <v>30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3" t="n">
        <v>34100</v>
      </c>
      <c r="J4" s="4" t="n">
        <v>0.0285</v>
      </c>
      <c r="K4" s="7" t="s">
        <v>39</v>
      </c>
      <c r="L4" s="6" t="s">
        <v>40</v>
      </c>
    </row>
    <row r="5" customFormat="false" ht="23.85" hidden="false" customHeight="false" outlineLevel="0" collapsed="false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3" t="n">
        <v>16400</v>
      </c>
      <c r="J5" s="4" t="n">
        <v>0.038</v>
      </c>
      <c r="K5" s="7" t="s">
        <v>39</v>
      </c>
      <c r="L5" s="6" t="s">
        <v>49</v>
      </c>
    </row>
    <row r="6" customFormat="false" ht="23.85" hidden="false" customHeight="false" outlineLevel="0" collapsed="false">
      <c r="A6" s="2" t="s">
        <v>50</v>
      </c>
      <c r="B6" s="2" t="s">
        <v>51</v>
      </c>
      <c r="C6" s="2" t="s">
        <v>14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3" t="n">
        <v>9800</v>
      </c>
      <c r="J6" s="4" t="n">
        <v>0.052</v>
      </c>
      <c r="K6" s="5" t="s">
        <v>20</v>
      </c>
      <c r="L6" s="6" t="s">
        <v>57</v>
      </c>
    </row>
    <row r="7" customFormat="false" ht="23.85" hidden="false" customHeight="false" outlineLevel="0" collapsed="false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3" t="n">
        <v>7200</v>
      </c>
      <c r="J7" s="4" t="n">
        <v>0.031</v>
      </c>
      <c r="K7" s="8" t="s">
        <v>66</v>
      </c>
      <c r="L7" s="6" t="s">
        <v>67</v>
      </c>
    </row>
    <row r="8" customFormat="false" ht="23.85" hidden="false" customHeight="false" outlineLevel="0" collapsed="false">
      <c r="A8" s="2" t="s">
        <v>68</v>
      </c>
      <c r="B8" s="2" t="s">
        <v>69</v>
      </c>
      <c r="C8" s="2" t="s">
        <v>14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3" t="n">
        <v>11300</v>
      </c>
      <c r="J8" s="4" t="n">
        <v>0.0645</v>
      </c>
      <c r="K8" s="5" t="s">
        <v>20</v>
      </c>
      <c r="L8" s="6" t="s">
        <v>75</v>
      </c>
    </row>
    <row r="9" customFormat="false" ht="23.85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3" t="n">
        <v>6500</v>
      </c>
      <c r="J9" s="4" t="n">
        <v>0.048</v>
      </c>
      <c r="K9" s="7" t="s">
        <v>39</v>
      </c>
      <c r="L9" s="6" t="s">
        <v>84</v>
      </c>
    </row>
    <row r="10" customFormat="false" ht="23.85" hidden="false" customHeight="false" outlineLevel="0" collapsed="false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3" t="n">
        <v>4200</v>
      </c>
      <c r="J10" s="4" t="n">
        <v>0.036</v>
      </c>
      <c r="K10" s="8" t="s">
        <v>66</v>
      </c>
      <c r="L10" s="6" t="s">
        <v>93</v>
      </c>
    </row>
    <row r="11" customFormat="false" ht="23.85" hidden="false" customHeight="false" outlineLevel="0" collapsed="false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101</v>
      </c>
      <c r="I11" s="3" t="n">
        <v>5800</v>
      </c>
      <c r="J11" s="4" t="n">
        <v>0.041</v>
      </c>
      <c r="K11" s="8" t="s">
        <v>66</v>
      </c>
      <c r="L11" s="6" t="s">
        <v>102</v>
      </c>
    </row>
    <row r="12" customFormat="false" ht="23.85" hidden="false" customHeight="false" outlineLevel="0" collapsed="false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3" t="n">
        <v>14900</v>
      </c>
      <c r="J12" s="4" t="n">
        <v>0.059</v>
      </c>
      <c r="K12" s="5" t="s">
        <v>20</v>
      </c>
      <c r="L12" s="6" t="s">
        <v>111</v>
      </c>
    </row>
    <row r="13" customFormat="false" ht="23.85" hidden="false" customHeight="false" outlineLevel="0" collapsed="false">
      <c r="A13" s="2" t="s">
        <v>112</v>
      </c>
      <c r="B13" s="2" t="s">
        <v>113</v>
      </c>
      <c r="C13" s="2" t="s">
        <v>14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3" t="n">
        <v>8100</v>
      </c>
      <c r="J13" s="4" t="n">
        <v>0.024</v>
      </c>
      <c r="K13" s="9" t="s">
        <v>119</v>
      </c>
      <c r="L13" s="6" t="s">
        <v>120</v>
      </c>
    </row>
    <row r="14" customFormat="false" ht="23.85" hidden="false" customHeight="false" outlineLevel="0" collapsed="false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3" t="n">
        <v>22400</v>
      </c>
      <c r="J14" s="4" t="n">
        <v>0.068</v>
      </c>
      <c r="K14" s="5" t="s">
        <v>20</v>
      </c>
      <c r="L14" s="6" t="s">
        <v>129</v>
      </c>
    </row>
    <row r="15" customFormat="false" ht="23.85" hidden="false" customHeight="false" outlineLevel="0" collapsed="false">
      <c r="A15" s="2" t="s">
        <v>130</v>
      </c>
      <c r="B15" s="2" t="s">
        <v>23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135</v>
      </c>
      <c r="H15" s="2" t="s">
        <v>136</v>
      </c>
      <c r="I15" s="3" t="n">
        <v>7900</v>
      </c>
      <c r="J15" s="4" t="n">
        <v>0.0435</v>
      </c>
      <c r="K15" s="7" t="s">
        <v>39</v>
      </c>
      <c r="L15" s="6" t="s">
        <v>137</v>
      </c>
    </row>
    <row r="16" customFormat="false" ht="23.85" hidden="false" customHeight="false" outlineLevel="0" collapsed="false">
      <c r="A16" s="2" t="s">
        <v>138</v>
      </c>
      <c r="B16" s="2" t="s">
        <v>23</v>
      </c>
      <c r="C16" s="2" t="s">
        <v>139</v>
      </c>
      <c r="D16" s="2" t="s">
        <v>80</v>
      </c>
      <c r="E16" s="2" t="s">
        <v>80</v>
      </c>
      <c r="F16" s="2" t="s">
        <v>140</v>
      </c>
      <c r="G16" s="2" t="s">
        <v>141</v>
      </c>
      <c r="H16" s="2" t="s">
        <v>142</v>
      </c>
      <c r="I16" s="3" t="n">
        <v>15300</v>
      </c>
      <c r="J16" s="4" t="n">
        <v>0.039</v>
      </c>
      <c r="K16" s="5" t="s">
        <v>20</v>
      </c>
      <c r="L16" s="6" t="s">
        <v>143</v>
      </c>
    </row>
    <row r="17" customFormat="false" ht="23.85" hidden="false" customHeight="false" outlineLevel="0" collapsed="false">
      <c r="A17" s="2" t="s">
        <v>144</v>
      </c>
      <c r="B17" s="2" t="s">
        <v>145</v>
      </c>
      <c r="C17" s="2" t="s">
        <v>14</v>
      </c>
      <c r="D17" s="2" t="s">
        <v>146</v>
      </c>
      <c r="E17" s="2" t="s">
        <v>80</v>
      </c>
      <c r="F17" s="2" t="s">
        <v>147</v>
      </c>
      <c r="G17" s="2" t="s">
        <v>148</v>
      </c>
      <c r="H17" s="2" t="s">
        <v>149</v>
      </c>
      <c r="I17" s="3" t="n">
        <v>4600</v>
      </c>
      <c r="J17" s="4" t="n">
        <v>0.0215</v>
      </c>
      <c r="K17" s="9" t="s">
        <v>119</v>
      </c>
      <c r="L17" s="6" t="s">
        <v>150</v>
      </c>
    </row>
    <row r="18" customFormat="false" ht="23.85" hidden="false" customHeight="false" outlineLevel="0" collapsed="false">
      <c r="A18" s="2" t="s">
        <v>151</v>
      </c>
      <c r="B18" s="2" t="s">
        <v>152</v>
      </c>
      <c r="C18" s="2" t="s">
        <v>14</v>
      </c>
      <c r="D18" s="2" t="s">
        <v>153</v>
      </c>
      <c r="E18" s="2" t="s">
        <v>154</v>
      </c>
      <c r="F18" s="2" t="s">
        <v>155</v>
      </c>
      <c r="G18" s="2" t="s">
        <v>156</v>
      </c>
      <c r="H18" s="2" t="s">
        <v>157</v>
      </c>
      <c r="I18" s="3" t="n">
        <v>3900</v>
      </c>
      <c r="J18" s="4" t="n">
        <v>0.0185</v>
      </c>
      <c r="K18" s="9" t="s">
        <v>119</v>
      </c>
      <c r="L18" s="6" t="s">
        <v>158</v>
      </c>
    </row>
    <row r="19" customFormat="false" ht="23.85" hidden="false" customHeight="false" outlineLevel="0" collapsed="false">
      <c r="A19" s="2" t="s">
        <v>159</v>
      </c>
      <c r="B19" s="2" t="s">
        <v>160</v>
      </c>
      <c r="C19" s="2" t="s">
        <v>161</v>
      </c>
      <c r="D19" s="2" t="s">
        <v>80</v>
      </c>
      <c r="E19" s="2" t="s">
        <v>80</v>
      </c>
      <c r="F19" s="2" t="s">
        <v>162</v>
      </c>
      <c r="G19" s="2" t="s">
        <v>80</v>
      </c>
      <c r="H19" s="2" t="s">
        <v>163</v>
      </c>
      <c r="I19" s="3" t="n">
        <v>3100</v>
      </c>
      <c r="J19" s="4" t="n">
        <v>0.049</v>
      </c>
      <c r="K19" s="7" t="s">
        <v>39</v>
      </c>
      <c r="L19" s="6" t="s">
        <v>164</v>
      </c>
    </row>
    <row r="20" customFormat="false" ht="23.85" hidden="false" customHeight="false" outlineLevel="0" collapsed="false">
      <c r="A20" s="2" t="s">
        <v>165</v>
      </c>
      <c r="B20" s="2" t="s">
        <v>42</v>
      </c>
      <c r="C20" s="2" t="s">
        <v>166</v>
      </c>
      <c r="D20" s="2" t="s">
        <v>167</v>
      </c>
      <c r="E20" s="2" t="s">
        <v>168</v>
      </c>
      <c r="F20" s="2" t="s">
        <v>169</v>
      </c>
      <c r="G20" s="2" t="s">
        <v>170</v>
      </c>
      <c r="H20" s="2" t="s">
        <v>171</v>
      </c>
      <c r="I20" s="3" t="n">
        <v>8700</v>
      </c>
      <c r="J20" s="4" t="n">
        <v>0.0325</v>
      </c>
      <c r="K20" s="8" t="s">
        <v>66</v>
      </c>
      <c r="L20" s="6" t="s">
        <v>172</v>
      </c>
    </row>
    <row r="21" customFormat="false" ht="23.85" hidden="false" customHeight="false" outlineLevel="0" collapsed="false">
      <c r="A21" s="2" t="s">
        <v>173</v>
      </c>
      <c r="B21" s="2" t="s">
        <v>42</v>
      </c>
      <c r="C21" s="2" t="s">
        <v>78</v>
      </c>
      <c r="D21" s="2" t="s">
        <v>174</v>
      </c>
      <c r="E21" s="2" t="s">
        <v>80</v>
      </c>
      <c r="F21" s="2" t="s">
        <v>175</v>
      </c>
      <c r="G21" s="2" t="s">
        <v>176</v>
      </c>
      <c r="H21" s="2" t="s">
        <v>177</v>
      </c>
      <c r="I21" s="3" t="n">
        <v>5400</v>
      </c>
      <c r="J21" s="4" t="n">
        <v>0.029</v>
      </c>
      <c r="K21" s="9" t="s">
        <v>119</v>
      </c>
      <c r="L21" s="6" t="s">
        <v>178</v>
      </c>
    </row>
    <row r="22" customFormat="false" ht="23.85" hidden="false" customHeight="false" outlineLevel="0" collapsed="false">
      <c r="A22" s="2" t="s">
        <v>179</v>
      </c>
      <c r="B22" s="2" t="s">
        <v>42</v>
      </c>
      <c r="C22" s="2" t="s">
        <v>180</v>
      </c>
      <c r="D22" s="2" t="s">
        <v>181</v>
      </c>
      <c r="E22" s="2" t="s">
        <v>182</v>
      </c>
      <c r="F22" s="2" t="s">
        <v>183</v>
      </c>
      <c r="G22" s="2" t="s">
        <v>184</v>
      </c>
      <c r="H22" s="2" t="s">
        <v>185</v>
      </c>
      <c r="I22" s="3" t="n">
        <v>2100</v>
      </c>
      <c r="J22" s="4" t="n">
        <v>0.014</v>
      </c>
      <c r="K22" s="9" t="s">
        <v>119</v>
      </c>
      <c r="L22" s="6" t="s">
        <v>186</v>
      </c>
    </row>
    <row r="23" customFormat="false" ht="23.85" hidden="false" customHeight="false" outlineLevel="0" collapsed="false">
      <c r="A23" s="2" t="s">
        <v>187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G23" s="2" t="s">
        <v>193</v>
      </c>
      <c r="H23" s="2" t="s">
        <v>194</v>
      </c>
      <c r="I23" s="3" t="n">
        <v>1850</v>
      </c>
      <c r="J23" s="4" t="n">
        <v>0.021</v>
      </c>
      <c r="K23" s="9" t="s">
        <v>119</v>
      </c>
      <c r="L23" s="6" t="s">
        <v>195</v>
      </c>
    </row>
    <row r="24" customFormat="false" ht="23.85" hidden="false" customHeight="false" outlineLevel="0" collapsed="false">
      <c r="A24" s="2" t="s">
        <v>196</v>
      </c>
      <c r="B24" s="2" t="s">
        <v>23</v>
      </c>
      <c r="C24" s="2" t="s">
        <v>197</v>
      </c>
      <c r="D24" s="2" t="s">
        <v>198</v>
      </c>
      <c r="E24" s="2" t="s">
        <v>80</v>
      </c>
      <c r="F24" s="2" t="s">
        <v>199</v>
      </c>
      <c r="G24" s="2" t="s">
        <v>200</v>
      </c>
      <c r="H24" s="2" t="s">
        <v>201</v>
      </c>
      <c r="I24" s="3" t="n">
        <v>1420</v>
      </c>
      <c r="J24" s="4" t="n">
        <v>0.023</v>
      </c>
      <c r="K24" s="9" t="s">
        <v>119</v>
      </c>
      <c r="L24" s="6" t="s">
        <v>202</v>
      </c>
    </row>
    <row r="25" customFormat="false" ht="23.85" hidden="false" customHeight="false" outlineLevel="0" collapsed="false">
      <c r="A25" s="2" t="s">
        <v>203</v>
      </c>
      <c r="B25" s="2" t="s">
        <v>204</v>
      </c>
      <c r="C25" s="2" t="s">
        <v>205</v>
      </c>
      <c r="D25" s="2" t="s">
        <v>80</v>
      </c>
      <c r="E25" s="2" t="s">
        <v>80</v>
      </c>
      <c r="F25" s="2" t="s">
        <v>206</v>
      </c>
      <c r="G25" s="2" t="s">
        <v>207</v>
      </c>
      <c r="H25" s="2" t="s">
        <v>208</v>
      </c>
      <c r="I25" s="3" t="n">
        <v>1210</v>
      </c>
      <c r="J25" s="4" t="n">
        <v>0.0265</v>
      </c>
      <c r="K25" s="9" t="s">
        <v>119</v>
      </c>
      <c r="L25" s="6" t="s">
        <v>209</v>
      </c>
    </row>
    <row r="26" customFormat="false" ht="23.85" hidden="false" customHeight="false" outlineLevel="0" collapsed="false">
      <c r="A26" s="2" t="s">
        <v>210</v>
      </c>
      <c r="B26" s="2" t="s">
        <v>204</v>
      </c>
      <c r="C26" s="2" t="s">
        <v>189</v>
      </c>
      <c r="D26" s="2" t="s">
        <v>211</v>
      </c>
      <c r="E26" s="2" t="s">
        <v>212</v>
      </c>
      <c r="F26" s="2" t="s">
        <v>213</v>
      </c>
      <c r="G26" s="2" t="s">
        <v>214</v>
      </c>
      <c r="H26" s="2" t="s">
        <v>215</v>
      </c>
      <c r="I26" s="3" t="n">
        <v>3800</v>
      </c>
      <c r="J26" s="4" t="n">
        <v>0.0205</v>
      </c>
      <c r="K26" s="9" t="s">
        <v>119</v>
      </c>
      <c r="L26" s="6" t="s">
        <v>216</v>
      </c>
    </row>
    <row r="27" customFormat="false" ht="23.85" hidden="false" customHeight="false" outlineLevel="0" collapsed="false">
      <c r="A27" s="2" t="s">
        <v>217</v>
      </c>
      <c r="B27" s="2" t="s">
        <v>204</v>
      </c>
      <c r="C27" s="2" t="s">
        <v>180</v>
      </c>
      <c r="D27" s="2" t="s">
        <v>218</v>
      </c>
      <c r="E27" s="2" t="s">
        <v>219</v>
      </c>
      <c r="F27" s="2" t="s">
        <v>220</v>
      </c>
      <c r="G27" s="2" t="s">
        <v>221</v>
      </c>
      <c r="H27" s="2" t="s">
        <v>222</v>
      </c>
      <c r="I27" s="3" t="n">
        <v>2900</v>
      </c>
      <c r="J27" s="4" t="n">
        <v>0.019</v>
      </c>
      <c r="K27" s="9" t="s">
        <v>119</v>
      </c>
      <c r="L27" s="6" t="s">
        <v>223</v>
      </c>
    </row>
    <row r="28" customFormat="false" ht="23.85" hidden="false" customHeight="false" outlineLevel="0" collapsed="false">
      <c r="A28" s="2" t="s">
        <v>224</v>
      </c>
      <c r="B28" s="2" t="s">
        <v>225</v>
      </c>
      <c r="C28" s="2" t="s">
        <v>226</v>
      </c>
      <c r="D28" s="2" t="s">
        <v>227</v>
      </c>
      <c r="E28" s="2" t="s">
        <v>228</v>
      </c>
      <c r="F28" s="2" t="s">
        <v>229</v>
      </c>
      <c r="G28" s="2" t="s">
        <v>230</v>
      </c>
      <c r="H28" s="2" t="s">
        <v>231</v>
      </c>
      <c r="I28" s="3" t="n">
        <v>2200</v>
      </c>
      <c r="J28" s="4" t="n">
        <v>0.0165</v>
      </c>
      <c r="K28" s="9" t="s">
        <v>119</v>
      </c>
      <c r="L28" s="6" t="s">
        <v>232</v>
      </c>
    </row>
    <row r="29" customFormat="false" ht="23.85" hidden="false" customHeight="false" outlineLevel="0" collapsed="false">
      <c r="A29" s="2" t="s">
        <v>233</v>
      </c>
      <c r="B29" s="2" t="s">
        <v>204</v>
      </c>
      <c r="C29" s="2" t="s">
        <v>234</v>
      </c>
      <c r="D29" s="2" t="s">
        <v>235</v>
      </c>
      <c r="E29" s="2" t="s">
        <v>80</v>
      </c>
      <c r="F29" s="2" t="s">
        <v>236</v>
      </c>
      <c r="G29" s="2" t="s">
        <v>237</v>
      </c>
      <c r="H29" s="2" t="s">
        <v>238</v>
      </c>
      <c r="I29" s="3" t="n">
        <v>3400</v>
      </c>
      <c r="J29" s="4" t="n">
        <v>0.022</v>
      </c>
      <c r="K29" s="9" t="s">
        <v>119</v>
      </c>
      <c r="L29" s="6" t="s">
        <v>239</v>
      </c>
    </row>
    <row r="30" customFormat="false" ht="23.85" hidden="false" customHeight="false" outlineLevel="0" collapsed="false">
      <c r="A30" s="2" t="s">
        <v>240</v>
      </c>
      <c r="B30" s="2" t="s">
        <v>42</v>
      </c>
      <c r="C30" s="2" t="s">
        <v>241</v>
      </c>
      <c r="D30" s="2" t="s">
        <v>242</v>
      </c>
      <c r="E30" s="2" t="s">
        <v>80</v>
      </c>
      <c r="F30" s="2" t="s">
        <v>243</v>
      </c>
      <c r="G30" s="2" t="s">
        <v>244</v>
      </c>
      <c r="H30" s="2" t="s">
        <v>245</v>
      </c>
      <c r="I30" s="3" t="n">
        <v>12800</v>
      </c>
      <c r="J30" s="4" t="n">
        <v>0.051</v>
      </c>
      <c r="K30" s="5" t="s">
        <v>20</v>
      </c>
      <c r="L30" s="6" t="s">
        <v>246</v>
      </c>
    </row>
    <row r="31" customFormat="false" ht="23.85" hidden="false" customHeight="false" outlineLevel="0" collapsed="false">
      <c r="A31" s="2" t="s">
        <v>247</v>
      </c>
      <c r="B31" s="2" t="s">
        <v>248</v>
      </c>
      <c r="C31" s="2" t="s">
        <v>14</v>
      </c>
      <c r="D31" s="2" t="s">
        <v>249</v>
      </c>
      <c r="E31" s="2" t="s">
        <v>250</v>
      </c>
      <c r="F31" s="2" t="s">
        <v>251</v>
      </c>
      <c r="G31" s="2" t="s">
        <v>252</v>
      </c>
      <c r="H31" s="2" t="s">
        <v>253</v>
      </c>
      <c r="I31" s="3" t="n">
        <v>9100</v>
      </c>
      <c r="J31" s="4" t="n">
        <v>0.0315</v>
      </c>
      <c r="K31" s="8" t="s">
        <v>66</v>
      </c>
      <c r="L31" s="6" t="s">
        <v>254</v>
      </c>
    </row>
    <row r="32" customFormat="false" ht="23.85" hidden="false" customHeight="false" outlineLevel="0" collapsed="false">
      <c r="A32" s="2" t="s">
        <v>255</v>
      </c>
      <c r="B32" s="2" t="s">
        <v>42</v>
      </c>
      <c r="C32" s="2" t="s">
        <v>180</v>
      </c>
      <c r="D32" s="2" t="s">
        <v>256</v>
      </c>
      <c r="E32" s="2" t="s">
        <v>80</v>
      </c>
      <c r="F32" s="2" t="s">
        <v>257</v>
      </c>
      <c r="G32" s="2" t="s">
        <v>258</v>
      </c>
      <c r="H32" s="2" t="s">
        <v>259</v>
      </c>
      <c r="I32" s="3" t="n">
        <v>10400</v>
      </c>
      <c r="J32" s="4" t="n">
        <v>0.046</v>
      </c>
      <c r="K32" s="7" t="s">
        <v>39</v>
      </c>
      <c r="L32" s="6" t="s">
        <v>260</v>
      </c>
    </row>
    <row r="33" customFormat="false" ht="23.85" hidden="false" customHeight="false" outlineLevel="0" collapsed="false">
      <c r="A33" s="2" t="s">
        <v>261</v>
      </c>
      <c r="B33" s="2" t="s">
        <v>23</v>
      </c>
      <c r="C33" s="2" t="s">
        <v>24</v>
      </c>
      <c r="D33" s="2" t="s">
        <v>262</v>
      </c>
      <c r="E33" s="2" t="s">
        <v>263</v>
      </c>
      <c r="F33" s="2" t="s">
        <v>264</v>
      </c>
      <c r="G33" s="2" t="s">
        <v>265</v>
      </c>
      <c r="H33" s="2" t="s">
        <v>266</v>
      </c>
      <c r="I33" s="3" t="n">
        <v>13600</v>
      </c>
      <c r="J33" s="4" t="n">
        <v>0.035</v>
      </c>
      <c r="K33" s="8" t="s">
        <v>66</v>
      </c>
      <c r="L33" s="6" t="s">
        <v>267</v>
      </c>
    </row>
    <row r="34" customFormat="false" ht="23.85" hidden="false" customHeight="false" outlineLevel="0" collapsed="false">
      <c r="A34" s="2" t="s">
        <v>268</v>
      </c>
      <c r="B34" s="2" t="s">
        <v>204</v>
      </c>
      <c r="C34" s="2" t="s">
        <v>269</v>
      </c>
      <c r="D34" s="2" t="s">
        <v>270</v>
      </c>
      <c r="E34" s="2" t="s">
        <v>80</v>
      </c>
      <c r="F34" s="2" t="s">
        <v>271</v>
      </c>
      <c r="G34" s="2" t="s">
        <v>272</v>
      </c>
      <c r="H34" s="2" t="s">
        <v>273</v>
      </c>
      <c r="I34" s="3" t="n">
        <v>5900</v>
      </c>
      <c r="J34" s="4" t="n">
        <v>0.0425</v>
      </c>
      <c r="K34" s="7" t="s">
        <v>39</v>
      </c>
      <c r="L34" s="6" t="s">
        <v>274</v>
      </c>
    </row>
    <row r="35" customFormat="false" ht="23.85" hidden="false" customHeight="false" outlineLevel="0" collapsed="false">
      <c r="A35" s="2" t="s">
        <v>275</v>
      </c>
      <c r="B35" s="2" t="s">
        <v>23</v>
      </c>
      <c r="C35" s="2" t="s">
        <v>276</v>
      </c>
      <c r="D35" s="2" t="s">
        <v>277</v>
      </c>
      <c r="E35" s="2" t="s">
        <v>80</v>
      </c>
      <c r="F35" s="2" t="s">
        <v>126</v>
      </c>
      <c r="G35" s="2" t="s">
        <v>278</v>
      </c>
      <c r="H35" s="2" t="s">
        <v>279</v>
      </c>
      <c r="I35" s="3" t="n">
        <v>3700</v>
      </c>
      <c r="J35" s="4" t="n">
        <v>0.0385</v>
      </c>
      <c r="K35" s="8" t="s">
        <v>66</v>
      </c>
      <c r="L35" s="6" t="s">
        <v>280</v>
      </c>
    </row>
    <row r="36" customFormat="false" ht="23.85" hidden="false" customHeight="false" outlineLevel="0" collapsed="false">
      <c r="A36" s="2" t="s">
        <v>281</v>
      </c>
      <c r="B36" s="2" t="s">
        <v>23</v>
      </c>
      <c r="C36" s="2" t="s">
        <v>282</v>
      </c>
      <c r="D36" s="2" t="s">
        <v>283</v>
      </c>
      <c r="E36" s="2" t="s">
        <v>80</v>
      </c>
      <c r="F36" s="2" t="s">
        <v>284</v>
      </c>
      <c r="G36" s="2" t="s">
        <v>285</v>
      </c>
      <c r="H36" s="2" t="s">
        <v>286</v>
      </c>
      <c r="I36" s="3" t="n">
        <v>2800</v>
      </c>
      <c r="J36" s="4" t="n">
        <v>0.025</v>
      </c>
      <c r="K36" s="9" t="s">
        <v>119</v>
      </c>
      <c r="L36" s="6" t="s">
        <v>287</v>
      </c>
    </row>
    <row r="37" customFormat="false" ht="23.85" hidden="false" customHeight="false" outlineLevel="0" collapsed="false">
      <c r="A37" s="2" t="s">
        <v>288</v>
      </c>
      <c r="B37" s="2" t="s">
        <v>23</v>
      </c>
      <c r="C37" s="2" t="s">
        <v>180</v>
      </c>
      <c r="D37" s="2" t="s">
        <v>289</v>
      </c>
      <c r="E37" s="2" t="s">
        <v>290</v>
      </c>
      <c r="F37" s="2" t="s">
        <v>291</v>
      </c>
      <c r="G37" s="2" t="s">
        <v>292</v>
      </c>
      <c r="H37" s="2" t="s">
        <v>293</v>
      </c>
      <c r="I37" s="3" t="n">
        <v>6800</v>
      </c>
      <c r="J37" s="4" t="n">
        <v>0.0295</v>
      </c>
      <c r="K37" s="8" t="s">
        <v>66</v>
      </c>
      <c r="L37" s="6" t="s">
        <v>294</v>
      </c>
    </row>
    <row r="38" customFormat="false" ht="23.85" hidden="false" customHeight="false" outlineLevel="0" collapsed="false">
      <c r="A38" s="2" t="s">
        <v>295</v>
      </c>
      <c r="B38" s="2" t="s">
        <v>296</v>
      </c>
      <c r="C38" s="2" t="s">
        <v>205</v>
      </c>
      <c r="D38" s="2" t="s">
        <v>297</v>
      </c>
      <c r="E38" s="2" t="s">
        <v>80</v>
      </c>
      <c r="F38" s="2" t="s">
        <v>298</v>
      </c>
      <c r="G38" s="2" t="s">
        <v>299</v>
      </c>
      <c r="H38" s="2" t="s">
        <v>300</v>
      </c>
      <c r="I38" s="3" t="n">
        <v>4100</v>
      </c>
      <c r="J38" s="4" t="n">
        <v>0.034</v>
      </c>
      <c r="K38" s="8" t="s">
        <v>66</v>
      </c>
      <c r="L38" s="6" t="s">
        <v>301</v>
      </c>
    </row>
    <row r="39" customFormat="false" ht="23.85" hidden="false" customHeight="false" outlineLevel="0" collapsed="false">
      <c r="A39" s="2" t="s">
        <v>302</v>
      </c>
      <c r="B39" s="2" t="s">
        <v>23</v>
      </c>
      <c r="C39" s="2" t="s">
        <v>205</v>
      </c>
      <c r="D39" s="2" t="s">
        <v>303</v>
      </c>
      <c r="E39" s="2" t="s">
        <v>80</v>
      </c>
      <c r="F39" s="2" t="s">
        <v>304</v>
      </c>
      <c r="G39" s="2" t="s">
        <v>305</v>
      </c>
      <c r="H39" s="2" t="s">
        <v>306</v>
      </c>
      <c r="I39" s="3" t="n">
        <v>2900</v>
      </c>
      <c r="J39" s="4" t="n">
        <v>0.031</v>
      </c>
      <c r="K39" s="8" t="s">
        <v>66</v>
      </c>
      <c r="L39" s="6" t="s">
        <v>307</v>
      </c>
    </row>
    <row r="40" customFormat="false" ht="23.85" hidden="false" customHeight="false" outlineLevel="0" collapsed="false">
      <c r="A40" s="2" t="s">
        <v>308</v>
      </c>
      <c r="B40" s="2" t="s">
        <v>204</v>
      </c>
      <c r="C40" s="2" t="s">
        <v>24</v>
      </c>
      <c r="D40" s="2" t="s">
        <v>309</v>
      </c>
      <c r="E40" s="2" t="s">
        <v>310</v>
      </c>
      <c r="F40" s="2" t="s">
        <v>311</v>
      </c>
      <c r="G40" s="2" t="s">
        <v>312</v>
      </c>
      <c r="H40" s="2" t="s">
        <v>313</v>
      </c>
      <c r="I40" s="3" t="n">
        <v>7400</v>
      </c>
      <c r="J40" s="4" t="n">
        <v>0.032</v>
      </c>
      <c r="K40" s="8" t="s">
        <v>66</v>
      </c>
      <c r="L40" s="6" t="s">
        <v>314</v>
      </c>
    </row>
    <row r="41" customFormat="false" ht="23.85" hidden="false" customHeight="false" outlineLevel="0" collapsed="false">
      <c r="A41" s="2" t="s">
        <v>315</v>
      </c>
      <c r="B41" s="2" t="s">
        <v>316</v>
      </c>
      <c r="C41" s="2" t="s">
        <v>189</v>
      </c>
      <c r="D41" s="2" t="s">
        <v>317</v>
      </c>
      <c r="E41" s="2" t="s">
        <v>80</v>
      </c>
      <c r="F41" s="2" t="s">
        <v>318</v>
      </c>
      <c r="G41" s="2" t="s">
        <v>319</v>
      </c>
      <c r="H41" s="2" t="s">
        <v>320</v>
      </c>
      <c r="I41" s="3" t="n">
        <v>2300</v>
      </c>
      <c r="J41" s="4" t="n">
        <v>0.0205</v>
      </c>
      <c r="K41" s="9" t="s">
        <v>119</v>
      </c>
      <c r="L41" s="6" t="s">
        <v>321</v>
      </c>
    </row>
    <row r="42" customFormat="false" ht="23.85" hidden="false" customHeight="false" outlineLevel="0" collapsed="false">
      <c r="A42" s="2" t="s">
        <v>322</v>
      </c>
      <c r="B42" s="2" t="s">
        <v>23</v>
      </c>
      <c r="C42" s="2" t="s">
        <v>189</v>
      </c>
      <c r="D42" s="2" t="s">
        <v>323</v>
      </c>
      <c r="E42" s="2" t="s">
        <v>80</v>
      </c>
      <c r="F42" s="2" t="s">
        <v>324</v>
      </c>
      <c r="G42" s="2" t="s">
        <v>325</v>
      </c>
      <c r="H42" s="2" t="s">
        <v>326</v>
      </c>
      <c r="I42" s="3" t="n">
        <v>3200</v>
      </c>
      <c r="J42" s="4" t="n">
        <v>0.031</v>
      </c>
      <c r="K42" s="8" t="s">
        <v>66</v>
      </c>
      <c r="L42" s="6" t="s">
        <v>327</v>
      </c>
    </row>
    <row r="43" customFormat="false" ht="23.85" hidden="false" customHeight="false" outlineLevel="0" collapsed="false">
      <c r="A43" s="2" t="s">
        <v>328</v>
      </c>
      <c r="B43" s="2" t="s">
        <v>23</v>
      </c>
      <c r="C43" s="2" t="s">
        <v>189</v>
      </c>
      <c r="D43" s="2" t="s">
        <v>329</v>
      </c>
      <c r="E43" s="2" t="s">
        <v>80</v>
      </c>
      <c r="F43" s="2" t="s">
        <v>330</v>
      </c>
      <c r="G43" s="2" t="s">
        <v>331</v>
      </c>
      <c r="H43" s="2" t="s">
        <v>332</v>
      </c>
      <c r="I43" s="3" t="n">
        <v>2600</v>
      </c>
      <c r="J43" s="4" t="n">
        <v>0.028</v>
      </c>
      <c r="K43" s="8" t="s">
        <v>66</v>
      </c>
      <c r="L43" s="6" t="s">
        <v>333</v>
      </c>
    </row>
    <row r="44" customFormat="false" ht="23.85" hidden="false" customHeight="false" outlineLevel="0" collapsed="false">
      <c r="A44" s="2" t="s">
        <v>334</v>
      </c>
      <c r="B44" s="2" t="s">
        <v>335</v>
      </c>
      <c r="C44" s="2" t="s">
        <v>189</v>
      </c>
      <c r="D44" s="2" t="s">
        <v>336</v>
      </c>
      <c r="E44" s="2" t="s">
        <v>80</v>
      </c>
      <c r="F44" s="2" t="s">
        <v>337</v>
      </c>
      <c r="G44" s="2" t="s">
        <v>338</v>
      </c>
      <c r="H44" s="2" t="s">
        <v>339</v>
      </c>
      <c r="I44" s="3" t="n">
        <v>4100</v>
      </c>
      <c r="J44" s="4" t="n">
        <v>0.035</v>
      </c>
      <c r="K44" s="7" t="s">
        <v>39</v>
      </c>
      <c r="L44" s="6" t="s">
        <v>340</v>
      </c>
    </row>
    <row r="45" customFormat="false" ht="23.85" hidden="false" customHeight="false" outlineLevel="0" collapsed="false">
      <c r="A45" s="2" t="s">
        <v>341</v>
      </c>
      <c r="B45" s="2" t="s">
        <v>42</v>
      </c>
      <c r="C45" s="2" t="s">
        <v>226</v>
      </c>
      <c r="D45" s="2" t="s">
        <v>342</v>
      </c>
      <c r="E45" s="2" t="s">
        <v>80</v>
      </c>
      <c r="F45" s="2" t="s">
        <v>343</v>
      </c>
      <c r="G45" s="2" t="s">
        <v>344</v>
      </c>
      <c r="H45" s="2" t="s">
        <v>345</v>
      </c>
      <c r="I45" s="3" t="n">
        <v>3100</v>
      </c>
      <c r="J45" s="4" t="n">
        <v>0.027</v>
      </c>
      <c r="K45" s="8" t="s">
        <v>66</v>
      </c>
      <c r="L45" s="6" t="s">
        <v>346</v>
      </c>
    </row>
    <row r="46" customFormat="false" ht="23.85" hidden="false" customHeight="false" outlineLevel="0" collapsed="false">
      <c r="A46" s="2" t="s">
        <v>347</v>
      </c>
      <c r="B46" s="2" t="s">
        <v>23</v>
      </c>
      <c r="C46" s="2" t="s">
        <v>269</v>
      </c>
      <c r="D46" s="2" t="s">
        <v>348</v>
      </c>
      <c r="E46" s="2" t="s">
        <v>80</v>
      </c>
      <c r="F46" s="2" t="s">
        <v>349</v>
      </c>
      <c r="G46" s="2" t="s">
        <v>350</v>
      </c>
      <c r="H46" s="2" t="s">
        <v>351</v>
      </c>
      <c r="I46" s="3" t="n">
        <v>2400</v>
      </c>
      <c r="J46" s="4" t="n">
        <v>0.036</v>
      </c>
      <c r="K46" s="8" t="s">
        <v>66</v>
      </c>
      <c r="L46" s="6" t="s">
        <v>352</v>
      </c>
    </row>
    <row r="47" customFormat="false" ht="23.85" hidden="false" customHeight="false" outlineLevel="0" collapsed="false">
      <c r="A47" s="2" t="s">
        <v>353</v>
      </c>
      <c r="B47" s="2" t="s">
        <v>23</v>
      </c>
      <c r="C47" s="2" t="s">
        <v>180</v>
      </c>
      <c r="D47" s="2" t="s">
        <v>354</v>
      </c>
      <c r="E47" s="2" t="s">
        <v>80</v>
      </c>
      <c r="F47" s="2" t="s">
        <v>355</v>
      </c>
      <c r="G47" s="2" t="s">
        <v>356</v>
      </c>
      <c r="H47" s="2" t="s">
        <v>357</v>
      </c>
      <c r="I47" s="3" t="n">
        <v>3500</v>
      </c>
      <c r="J47" s="4" t="n">
        <v>0.0225</v>
      </c>
      <c r="K47" s="9" t="s">
        <v>119</v>
      </c>
      <c r="L47" s="6" t="s">
        <v>358</v>
      </c>
    </row>
    <row r="48" customFormat="false" ht="23.85" hidden="false" customHeight="false" outlineLevel="0" collapsed="false">
      <c r="A48" s="2" t="s">
        <v>359</v>
      </c>
      <c r="B48" s="2" t="s">
        <v>204</v>
      </c>
      <c r="C48" s="2" t="s">
        <v>166</v>
      </c>
      <c r="D48" s="2" t="s">
        <v>360</v>
      </c>
      <c r="E48" s="2" t="s">
        <v>80</v>
      </c>
      <c r="F48" s="2" t="s">
        <v>361</v>
      </c>
      <c r="G48" s="2" t="s">
        <v>362</v>
      </c>
      <c r="H48" s="2" t="s">
        <v>363</v>
      </c>
      <c r="I48" s="3" t="n">
        <v>8900</v>
      </c>
      <c r="J48" s="4" t="n">
        <v>0.031</v>
      </c>
      <c r="K48" s="8" t="s">
        <v>66</v>
      </c>
      <c r="L48" s="6" t="s">
        <v>364</v>
      </c>
    </row>
    <row r="49" customFormat="false" ht="23.85" hidden="false" customHeight="false" outlineLevel="0" collapsed="false">
      <c r="A49" s="2" t="s">
        <v>365</v>
      </c>
      <c r="B49" s="2" t="s">
        <v>23</v>
      </c>
      <c r="C49" s="2" t="s">
        <v>24</v>
      </c>
      <c r="D49" s="2" t="s">
        <v>366</v>
      </c>
      <c r="E49" s="2" t="s">
        <v>80</v>
      </c>
      <c r="F49" s="2" t="s">
        <v>367</v>
      </c>
      <c r="G49" s="2" t="s">
        <v>368</v>
      </c>
      <c r="H49" s="2" t="s">
        <v>369</v>
      </c>
      <c r="I49" s="3" t="n">
        <v>5200</v>
      </c>
      <c r="J49" s="4" t="n">
        <v>0.041</v>
      </c>
      <c r="K49" s="7" t="s">
        <v>39</v>
      </c>
      <c r="L49" s="6" t="s">
        <v>370</v>
      </c>
    </row>
    <row r="50" customFormat="false" ht="23.85" hidden="false" customHeight="false" outlineLevel="0" collapsed="false">
      <c r="A50" s="2" t="s">
        <v>371</v>
      </c>
      <c r="B50" s="2" t="s">
        <v>204</v>
      </c>
      <c r="C50" s="2" t="s">
        <v>189</v>
      </c>
      <c r="D50" s="2" t="s">
        <v>372</v>
      </c>
      <c r="E50" s="2" t="s">
        <v>80</v>
      </c>
      <c r="F50" s="2" t="s">
        <v>373</v>
      </c>
      <c r="G50" s="2" t="s">
        <v>374</v>
      </c>
      <c r="H50" s="2" t="s">
        <v>375</v>
      </c>
      <c r="I50" s="3" t="n">
        <v>4800</v>
      </c>
      <c r="J50" s="4" t="n">
        <v>0.043</v>
      </c>
      <c r="K50" s="7" t="s">
        <v>39</v>
      </c>
      <c r="L50" s="6" t="s">
        <v>376</v>
      </c>
    </row>
    <row r="51" customFormat="false" ht="23.85" hidden="false" customHeight="false" outlineLevel="0" collapsed="false">
      <c r="A51" s="2" t="s">
        <v>377</v>
      </c>
      <c r="B51" s="2" t="s">
        <v>23</v>
      </c>
      <c r="C51" s="2" t="s">
        <v>269</v>
      </c>
      <c r="D51" s="2" t="s">
        <v>378</v>
      </c>
      <c r="E51" s="2" t="s">
        <v>80</v>
      </c>
      <c r="F51" s="2" t="s">
        <v>379</v>
      </c>
      <c r="G51" s="2" t="s">
        <v>380</v>
      </c>
      <c r="H51" s="2" t="s">
        <v>381</v>
      </c>
      <c r="I51" s="3" t="n">
        <v>1950</v>
      </c>
      <c r="J51" s="4" t="n">
        <v>0.032</v>
      </c>
      <c r="K51" s="7" t="s">
        <v>39</v>
      </c>
      <c r="L51" s="6" t="s">
        <v>382</v>
      </c>
    </row>
    <row r="52" customFormat="false" ht="23.85" hidden="false" customHeight="false" outlineLevel="0" collapsed="false">
      <c r="A52" s="2" t="s">
        <v>383</v>
      </c>
      <c r="B52" s="2" t="s">
        <v>384</v>
      </c>
      <c r="C52" s="2" t="s">
        <v>241</v>
      </c>
      <c r="D52" s="2" t="s">
        <v>385</v>
      </c>
      <c r="E52" s="2" t="s">
        <v>80</v>
      </c>
      <c r="F52" s="2" t="s">
        <v>386</v>
      </c>
      <c r="G52" s="2" t="s">
        <v>387</v>
      </c>
      <c r="H52" s="2" t="s">
        <v>388</v>
      </c>
      <c r="I52" s="3" t="n">
        <v>6200</v>
      </c>
      <c r="J52" s="4" t="n">
        <v>0.034</v>
      </c>
      <c r="K52" s="8" t="s">
        <v>66</v>
      </c>
      <c r="L52" s="6" t="s">
        <v>389</v>
      </c>
    </row>
    <row r="53" customFormat="false" ht="23.85" hidden="false" customHeight="false" outlineLevel="0" collapsed="false">
      <c r="A53" s="2" t="s">
        <v>390</v>
      </c>
      <c r="B53" s="2" t="s">
        <v>23</v>
      </c>
      <c r="C53" s="2" t="s">
        <v>234</v>
      </c>
      <c r="D53" s="2" t="s">
        <v>391</v>
      </c>
      <c r="E53" s="2" t="s">
        <v>80</v>
      </c>
      <c r="F53" s="2" t="s">
        <v>392</v>
      </c>
      <c r="G53" s="2" t="s">
        <v>393</v>
      </c>
      <c r="H53" s="2" t="s">
        <v>394</v>
      </c>
      <c r="I53" s="3" t="n">
        <v>5100</v>
      </c>
      <c r="J53" s="4" t="n">
        <v>0.038</v>
      </c>
      <c r="K53" s="7" t="s">
        <v>39</v>
      </c>
      <c r="L53" s="6" t="s">
        <v>395</v>
      </c>
    </row>
    <row r="54" customFormat="false" ht="23.85" hidden="false" customHeight="false" outlineLevel="0" collapsed="false">
      <c r="A54" s="2" t="s">
        <v>396</v>
      </c>
      <c r="B54" s="2" t="s">
        <v>316</v>
      </c>
      <c r="C54" s="2" t="s">
        <v>397</v>
      </c>
      <c r="D54" s="2" t="s">
        <v>398</v>
      </c>
      <c r="E54" s="2" t="s">
        <v>80</v>
      </c>
      <c r="F54" s="2" t="s">
        <v>399</v>
      </c>
      <c r="G54" s="2" t="s">
        <v>400</v>
      </c>
      <c r="H54" s="2" t="s">
        <v>401</v>
      </c>
      <c r="I54" s="3" t="n">
        <v>4300</v>
      </c>
      <c r="J54" s="4" t="n">
        <v>0.0395</v>
      </c>
      <c r="K54" s="8" t="s">
        <v>66</v>
      </c>
      <c r="L54" s="6" t="s">
        <v>402</v>
      </c>
    </row>
    <row r="55" customFormat="false" ht="23.85" hidden="false" customHeight="false" outlineLevel="0" collapsed="false">
      <c r="A55" s="2" t="s">
        <v>403</v>
      </c>
      <c r="B55" s="2" t="s">
        <v>404</v>
      </c>
      <c r="C55" s="2" t="s">
        <v>14</v>
      </c>
      <c r="D55" s="2" t="s">
        <v>405</v>
      </c>
      <c r="E55" s="2" t="s">
        <v>80</v>
      </c>
      <c r="F55" s="2" t="s">
        <v>406</v>
      </c>
      <c r="G55" s="2" t="s">
        <v>407</v>
      </c>
      <c r="H55" s="2" t="s">
        <v>408</v>
      </c>
      <c r="I55" s="3" t="n">
        <v>2100</v>
      </c>
      <c r="J55" s="4" t="n">
        <v>0.031</v>
      </c>
      <c r="K55" s="8" t="s">
        <v>66</v>
      </c>
      <c r="L55" s="6" t="s">
        <v>409</v>
      </c>
    </row>
    <row r="56" customFormat="false" ht="23.85" hidden="false" customHeight="false" outlineLevel="0" collapsed="false">
      <c r="A56" s="2" t="s">
        <v>410</v>
      </c>
      <c r="B56" s="2" t="s">
        <v>23</v>
      </c>
      <c r="C56" s="2" t="s">
        <v>24</v>
      </c>
      <c r="D56" s="2" t="s">
        <v>411</v>
      </c>
      <c r="E56" s="2" t="s">
        <v>80</v>
      </c>
      <c r="F56" s="2" t="s">
        <v>412</v>
      </c>
      <c r="G56" s="2" t="s">
        <v>413</v>
      </c>
      <c r="H56" s="2" t="s">
        <v>414</v>
      </c>
      <c r="I56" s="3" t="n">
        <v>14200</v>
      </c>
      <c r="J56" s="4" t="n">
        <v>0.0485</v>
      </c>
      <c r="K56" s="5" t="s">
        <v>20</v>
      </c>
      <c r="L56" s="6" t="s">
        <v>415</v>
      </c>
    </row>
    <row r="57" customFormat="false" ht="23.85" hidden="false" customHeight="false" outlineLevel="0" collapsed="false">
      <c r="A57" s="2" t="s">
        <v>416</v>
      </c>
      <c r="B57" s="2" t="s">
        <v>42</v>
      </c>
      <c r="C57" s="2" t="s">
        <v>78</v>
      </c>
      <c r="D57" s="2" t="s">
        <v>417</v>
      </c>
      <c r="E57" s="2" t="s">
        <v>418</v>
      </c>
      <c r="F57" s="2" t="s">
        <v>419</v>
      </c>
      <c r="G57" s="2" t="s">
        <v>420</v>
      </c>
      <c r="H57" s="2" t="s">
        <v>421</v>
      </c>
      <c r="I57" s="3" t="n">
        <v>18900</v>
      </c>
      <c r="J57" s="4" t="n">
        <v>0.052</v>
      </c>
      <c r="K57" s="5" t="s">
        <v>20</v>
      </c>
      <c r="L57" s="6" t="s">
        <v>422</v>
      </c>
    </row>
    <row r="58" customFormat="false" ht="23.85" hidden="false" customHeight="false" outlineLevel="0" collapsed="false">
      <c r="A58" s="2" t="s">
        <v>423</v>
      </c>
      <c r="B58" s="2" t="s">
        <v>424</v>
      </c>
      <c r="C58" s="2" t="s">
        <v>425</v>
      </c>
      <c r="D58" s="2" t="s">
        <v>426</v>
      </c>
      <c r="E58" s="2" t="s">
        <v>80</v>
      </c>
      <c r="F58" s="2" t="s">
        <v>427</v>
      </c>
      <c r="G58" s="2" t="s">
        <v>428</v>
      </c>
      <c r="H58" s="2" t="s">
        <v>429</v>
      </c>
      <c r="I58" s="3" t="n">
        <v>15600</v>
      </c>
      <c r="J58" s="4" t="n">
        <v>0.041</v>
      </c>
      <c r="K58" s="5" t="s">
        <v>20</v>
      </c>
      <c r="L58" s="6" t="s">
        <v>430</v>
      </c>
    </row>
    <row r="59" customFormat="false" ht="23.85" hidden="false" customHeight="false" outlineLevel="0" collapsed="false">
      <c r="A59" s="2" t="s">
        <v>431</v>
      </c>
      <c r="B59" s="2" t="s">
        <v>23</v>
      </c>
      <c r="C59" s="2" t="s">
        <v>180</v>
      </c>
      <c r="D59" s="2" t="s">
        <v>432</v>
      </c>
      <c r="E59" s="2" t="s">
        <v>80</v>
      </c>
      <c r="F59" s="2" t="s">
        <v>433</v>
      </c>
      <c r="G59" s="2" t="s">
        <v>434</v>
      </c>
      <c r="H59" s="2" t="s">
        <v>435</v>
      </c>
      <c r="I59" s="3" t="n">
        <v>8400</v>
      </c>
      <c r="J59" s="4" t="n">
        <v>0.042</v>
      </c>
      <c r="K59" s="5" t="s">
        <v>20</v>
      </c>
      <c r="L59" s="6" t="s">
        <v>436</v>
      </c>
    </row>
    <row r="60" customFormat="false" ht="23.85" hidden="false" customHeight="false" outlineLevel="0" collapsed="false">
      <c r="A60" s="2" t="s">
        <v>335</v>
      </c>
      <c r="B60" s="2" t="s">
        <v>204</v>
      </c>
      <c r="C60" s="2" t="s">
        <v>161</v>
      </c>
      <c r="D60" s="2" t="s">
        <v>437</v>
      </c>
      <c r="E60" s="2" t="s">
        <v>80</v>
      </c>
      <c r="F60" s="2" t="s">
        <v>438</v>
      </c>
      <c r="G60" s="2" t="s">
        <v>439</v>
      </c>
      <c r="H60" s="2" t="s">
        <v>440</v>
      </c>
      <c r="I60" s="3" t="n">
        <v>6700</v>
      </c>
      <c r="J60" s="4" t="n">
        <v>0.049</v>
      </c>
      <c r="K60" s="5" t="s">
        <v>20</v>
      </c>
      <c r="L60" s="6" t="s">
        <v>441</v>
      </c>
    </row>
  </sheetData>
  <autoFilter ref="A1:L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0" t="s">
        <v>442</v>
      </c>
    </row>
    <row r="3" customFormat="false" ht="15" hidden="false" customHeight="false" outlineLevel="0" collapsed="false">
      <c r="A3" s="0" t="s">
        <v>443</v>
      </c>
      <c r="B3" s="0" t="n">
        <f aca="false">COUNTA('Phoenix Cafe Outreach'!A2:A60)</f>
        <v>59</v>
      </c>
    </row>
    <row r="4" customFormat="false" ht="15" hidden="false" customHeight="false" outlineLevel="0" collapsed="false">
      <c r="A4" s="0" t="s">
        <v>444</v>
      </c>
      <c r="B4" s="11" t="n">
        <f aca="false">AVERAGE('Phoenix Cafe Outreach'!I2:I60)</f>
        <v>7766.61016949153</v>
      </c>
    </row>
    <row r="5" customFormat="false" ht="15" hidden="false" customHeight="false" outlineLevel="0" collapsed="false">
      <c r="A5" s="0" t="s">
        <v>445</v>
      </c>
      <c r="B5" s="12" t="n">
        <f aca="false">AVERAGE('Phoenix Cafe Outreach'!J2:J60)</f>
        <v>0.0352406779661017</v>
      </c>
    </row>
    <row r="7" customFormat="false" ht="15" hidden="false" customHeight="false" outlineLevel="0" collapsed="false">
      <c r="A7" s="13" t="s">
        <v>10</v>
      </c>
      <c r="B7" s="13" t="s">
        <v>446</v>
      </c>
    </row>
    <row r="8" customFormat="false" ht="15" hidden="false" customHeight="false" outlineLevel="0" collapsed="false">
      <c r="A8" s="14" t="s">
        <v>20</v>
      </c>
      <c r="B8" s="14" t="n">
        <f aca="false">COUNTIF('Phoenix Cafe Outreach'!K2:K60,A8)</f>
        <v>13</v>
      </c>
    </row>
    <row r="9" customFormat="false" ht="15" hidden="false" customHeight="false" outlineLevel="0" collapsed="false">
      <c r="A9" s="14" t="s">
        <v>39</v>
      </c>
      <c r="B9" s="14" t="n">
        <f aca="false">COUNTIF('Phoenix Cafe Outreach'!K2:K60,A9)</f>
        <v>12</v>
      </c>
    </row>
    <row r="10" customFormat="false" ht="15" hidden="false" customHeight="false" outlineLevel="0" collapsed="false">
      <c r="A10" s="14" t="s">
        <v>66</v>
      </c>
      <c r="B10" s="14" t="n">
        <f aca="false">COUNTIF('Phoenix Cafe Outreach'!K2:K60,A10)</f>
        <v>19</v>
      </c>
    </row>
    <row r="11" customFormat="false" ht="15" hidden="false" customHeight="false" outlineLevel="0" collapsed="false">
      <c r="A11" s="14" t="s">
        <v>119</v>
      </c>
      <c r="B11" s="14" t="n">
        <f aca="false">COUNTIF('Phoenix Cafe Outreach'!K2:K60,A11)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2026-07-22T07:38:19Z</dcterms:created>
  <dc:creator>openpyxl</dc:creator>
  <dc:description/>
  <dc:language>en-US</dc:language>
  <cp:lastModifiedBy/>
  <dcterms:modified xsi:type="dcterms:W3CDTF">2026-07-22T07:38:19Z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